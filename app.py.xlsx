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urity Data Analysis" sheetId="1" r:id="rId5"/>
  </sheets>
  <definedNames/>
  <calcPr/>
</workbook>
</file>

<file path=xl/sharedStrings.xml><?xml version="1.0" encoding="utf-8"?>
<sst xmlns="http://schemas.openxmlformats.org/spreadsheetml/2006/main" count="20" uniqueCount="20">
  <si>
    <t>ISIN</t>
  </si>
  <si>
    <t>SECURITY NAME</t>
  </si>
  <si>
    <t>COUPON (%)</t>
  </si>
  <si>
    <t>MATURITY</t>
  </si>
  <si>
    <t>PRICE</t>
  </si>
  <si>
    <t>YTM (%)</t>
  </si>
  <si>
    <t>G-SEC YIELD (%)</t>
  </si>
  <si>
    <t>SPREAD (bps)</t>
  </si>
  <si>
    <t>LAST CUT-OFF (%)</t>
  </si>
  <si>
    <t>DELTA (bps)</t>
  </si>
  <si>
    <t>VOLUME</t>
  </si>
  <si>
    <t>SCORE</t>
  </si>
  <si>
    <t>IN123</t>
  </si>
  <si>
    <t>7.34% AP SGS 2034</t>
  </si>
  <si>
    <t>IN456</t>
  </si>
  <si>
    <t>7.30% MH SGS 2034</t>
  </si>
  <si>
    <t>IN789</t>
  </si>
  <si>
    <t>7.25% GJ SGS 2033</t>
  </si>
  <si>
    <t>IN321</t>
  </si>
  <si>
    <t>7.90% PB SGS 2035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</si>
</sst>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7" max="7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>
        <v>7.34</v>
      </c>
      <c r="D2" s="1">
        <v>2034.0</v>
      </c>
      <c r="E2" s="1">
        <v>102.5</v>
      </c>
      <c r="F2" s="1">
        <v>7.75</v>
      </c>
      <c r="G2" s="1">
        <v>6.88</v>
      </c>
      <c r="H2" s="2">
        <f t="shared" ref="H2:H5" si="1">(F2-G2)*100</f>
        <v>87</v>
      </c>
      <c r="I2" s="1">
        <v>7.7</v>
      </c>
      <c r="J2" s="2">
        <f t="shared" ref="J2:J5" si="2">(F2-I2)*100</f>
        <v>5</v>
      </c>
      <c r="K2" s="1">
        <v>150.0</v>
      </c>
      <c r="L2" s="2">
        <f t="shared" ref="L2:L5" si="3">IF(H2&gt;80,3,IF(H2&gt;60,2,1)) + IF(J2&gt;5,3,IF(J2&gt;0,2,1)) + IF(K2&gt;200,2,1)</f>
        <v>6</v>
      </c>
    </row>
    <row r="3">
      <c r="A3" s="1" t="s">
        <v>14</v>
      </c>
      <c r="B3" s="1" t="s">
        <v>15</v>
      </c>
      <c r="C3" s="1">
        <v>7.3</v>
      </c>
      <c r="D3" s="1">
        <v>2034.0</v>
      </c>
      <c r="E3" s="1">
        <v>101.8</v>
      </c>
      <c r="F3" s="1">
        <v>7.6</v>
      </c>
      <c r="G3" s="1">
        <v>6.88</v>
      </c>
      <c r="H3" s="2">
        <f t="shared" si="1"/>
        <v>72</v>
      </c>
      <c r="I3" s="1">
        <v>7.58</v>
      </c>
      <c r="J3" s="2">
        <f t="shared" si="2"/>
        <v>2</v>
      </c>
      <c r="K3" s="1">
        <v>300.0</v>
      </c>
      <c r="L3" s="2">
        <f t="shared" si="3"/>
        <v>6</v>
      </c>
    </row>
    <row r="4">
      <c r="A4" s="1" t="s">
        <v>16</v>
      </c>
      <c r="B4" s="1" t="s">
        <v>17</v>
      </c>
      <c r="C4" s="1">
        <v>7.25</v>
      </c>
      <c r="D4" s="1">
        <v>2033.0</v>
      </c>
      <c r="E4" s="1">
        <v>101.2</v>
      </c>
      <c r="F4" s="1">
        <v>7.55</v>
      </c>
      <c r="G4" s="1">
        <v>6.85</v>
      </c>
      <c r="H4" s="2">
        <f t="shared" si="1"/>
        <v>70</v>
      </c>
      <c r="I4" s="1">
        <v>7.52</v>
      </c>
      <c r="J4" s="2">
        <f t="shared" si="2"/>
        <v>3</v>
      </c>
      <c r="K4" s="1">
        <v>250.0</v>
      </c>
      <c r="L4" s="2">
        <f t="shared" si="3"/>
        <v>6</v>
      </c>
    </row>
    <row r="5">
      <c r="A5" s="1" t="s">
        <v>18</v>
      </c>
      <c r="B5" s="1" t="s">
        <v>19</v>
      </c>
      <c r="C5" s="1">
        <v>7.9</v>
      </c>
      <c r="D5" s="1">
        <v>2035.0</v>
      </c>
      <c r="E5" s="1">
        <v>103.1</v>
      </c>
      <c r="F5" s="1">
        <v>7.9</v>
      </c>
      <c r="G5" s="1">
        <v>6.9</v>
      </c>
      <c r="H5" s="2">
        <f t="shared" si="1"/>
        <v>100</v>
      </c>
      <c r="I5" s="1">
        <v>7.85</v>
      </c>
      <c r="J5" s="2">
        <f t="shared" si="2"/>
        <v>5</v>
      </c>
      <c r="K5" s="1">
        <v>120.0</v>
      </c>
      <c r="L5" s="2">
        <f t="shared" si="3"/>
        <v>7</v>
      </c>
    </row>
  </sheetData>
  <drawing r:id="rId1"/>
</worksheet>
</file>